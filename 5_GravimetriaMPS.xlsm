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_MPS\"/>
    </mc:Choice>
  </mc:AlternateContent>
  <xr:revisionPtr revIDLastSave="0" documentId="13_ncr:1_{F34A6B7C-9151-4FCB-A2ED-C4593D87CD6B}" xr6:coauthVersionLast="47" xr6:coauthVersionMax="47" xr10:uidLastSave="{00000000-0000-0000-0000-000000000000}"/>
  <workbookProtection workbookAlgorithmName="SHA-512" workbookHashValue="fT7pe6JRHmDmLeWhC9nTmfOLCL3y/1CBTKABoUWmY9BFZEVSbMtHOe5qGGGKsREvd3Ne/w6KJL1d0gjuyWbNzQ==" workbookSaltValue="6YaceLPMJ++7HYqcGi9KRw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 l="1"/>
  <c r="D3" i="5" s="1"/>
  <c r="Z6" i="3"/>
  <c r="I4" i="5" s="1"/>
  <c r="Z7" i="3"/>
  <c r="D5" i="5" s="1"/>
  <c r="Z8" i="3"/>
  <c r="K6" i="5" s="1"/>
  <c r="Z9" i="3"/>
  <c r="K7" i="5" s="1"/>
  <c r="Z10" i="3"/>
  <c r="C8" i="5" s="1"/>
  <c r="Z11" i="3"/>
  <c r="L9" i="5" s="1"/>
  <c r="Z12" i="3"/>
  <c r="D10" i="5" s="1"/>
  <c r="Z13" i="3"/>
  <c r="C11" i="5" s="1"/>
  <c r="Z14" i="3"/>
  <c r="D12" i="5" s="1"/>
  <c r="Z15" i="3"/>
  <c r="F13" i="5" s="1"/>
  <c r="Z16" i="3"/>
  <c r="K14" i="5" s="1"/>
  <c r="Z17" i="3"/>
  <c r="D15" i="5" s="1"/>
  <c r="Z18" i="3"/>
  <c r="M16" i="5" s="1"/>
  <c r="Z19" i="3"/>
  <c r="F17" i="5" s="1"/>
  <c r="Z20" i="3"/>
  <c r="K18" i="5" s="1"/>
  <c r="Z21" i="3"/>
  <c r="F19" i="5" s="1"/>
  <c r="Z22" i="3"/>
  <c r="H20" i="5" s="1"/>
  <c r="Z23" i="3"/>
  <c r="D21" i="5" s="1"/>
  <c r="Z24" i="3"/>
  <c r="K22" i="5" s="1"/>
  <c r="Z4" i="3"/>
  <c r="E2" i="5" s="1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G4" i="3"/>
  <c r="F4" i="3"/>
  <c r="A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U15" i="5" l="1"/>
  <c r="X21" i="5"/>
  <c r="T21" i="5"/>
  <c r="L21" i="5"/>
  <c r="C16" i="5"/>
  <c r="L16" i="5"/>
  <c r="U16" i="5"/>
  <c r="J16" i="5"/>
  <c r="S16" i="5"/>
  <c r="J16" i="4"/>
  <c r="Q16" i="5"/>
  <c r="N16" i="5"/>
  <c r="F16" i="5"/>
  <c r="H15" i="5"/>
  <c r="J15" i="4"/>
  <c r="Q15" i="5"/>
  <c r="X15" i="5"/>
  <c r="M21" i="5"/>
  <c r="B21" i="5"/>
  <c r="R21" i="5"/>
  <c r="J21" i="5"/>
  <c r="F21" i="5"/>
  <c r="H21" i="5"/>
  <c r="E21" i="5"/>
  <c r="V21" i="5"/>
  <c r="O21" i="5"/>
  <c r="J20" i="4"/>
  <c r="K19" i="5"/>
  <c r="M19" i="5"/>
  <c r="X19" i="5"/>
  <c r="T19" i="5"/>
  <c r="J19" i="5"/>
  <c r="E19" i="5"/>
  <c r="V19" i="5"/>
  <c r="P19" i="5"/>
  <c r="S19" i="5"/>
  <c r="W19" i="5"/>
  <c r="R19" i="5"/>
  <c r="B17" i="5"/>
  <c r="T17" i="5"/>
  <c r="V17" i="5"/>
  <c r="X16" i="5"/>
  <c r="I16" i="5"/>
  <c r="H16" i="5"/>
  <c r="W16" i="5"/>
  <c r="T16" i="5"/>
  <c r="P16" i="5"/>
  <c r="K16" i="5"/>
  <c r="E16" i="5"/>
  <c r="D16" i="5"/>
  <c r="T15" i="5"/>
  <c r="U21" i="5"/>
  <c r="Q21" i="5"/>
  <c r="O19" i="5"/>
  <c r="L19" i="5"/>
  <c r="I19" i="5"/>
  <c r="D19" i="5"/>
  <c r="U19" i="5"/>
  <c r="Q19" i="5"/>
  <c r="O17" i="5"/>
  <c r="L17" i="5"/>
  <c r="I17" i="5"/>
  <c r="W21" i="5"/>
  <c r="U17" i="5"/>
  <c r="S21" i="5"/>
  <c r="Q17" i="5"/>
  <c r="N19" i="5"/>
  <c r="C21" i="5"/>
  <c r="C19" i="5"/>
  <c r="N17" i="5"/>
  <c r="B19" i="5"/>
  <c r="S17" i="5"/>
  <c r="H19" i="5"/>
  <c r="C17" i="5"/>
  <c r="E22" i="5"/>
  <c r="D22" i="5"/>
  <c r="N21" i="5"/>
  <c r="I21" i="5"/>
  <c r="P21" i="5"/>
  <c r="K21" i="5"/>
  <c r="D20" i="5"/>
  <c r="O20" i="5"/>
  <c r="B20" i="5"/>
  <c r="M20" i="5"/>
  <c r="I20" i="5"/>
  <c r="U20" i="5"/>
  <c r="E20" i="5"/>
  <c r="C20" i="5"/>
  <c r="P20" i="5"/>
  <c r="N20" i="5"/>
  <c r="L20" i="5"/>
  <c r="F20" i="5"/>
  <c r="T20" i="5"/>
  <c r="K20" i="5"/>
  <c r="X20" i="5"/>
  <c r="J20" i="5"/>
  <c r="W20" i="5"/>
  <c r="R20" i="5"/>
  <c r="V20" i="5"/>
  <c r="S20" i="5"/>
  <c r="Q20" i="5"/>
  <c r="E18" i="5"/>
  <c r="W17" i="5"/>
  <c r="J17" i="5"/>
  <c r="D17" i="5"/>
  <c r="X17" i="5"/>
  <c r="R17" i="5"/>
  <c r="M17" i="5"/>
  <c r="H17" i="5"/>
  <c r="K17" i="5"/>
  <c r="E17" i="5"/>
  <c r="P17" i="5"/>
  <c r="R16" i="5"/>
  <c r="O16" i="5"/>
  <c r="B16" i="5"/>
  <c r="V16" i="5"/>
  <c r="L15" i="5"/>
  <c r="I15" i="5"/>
  <c r="F15" i="5"/>
  <c r="E15" i="5"/>
  <c r="B15" i="5"/>
  <c r="M15" i="5"/>
  <c r="P15" i="5"/>
  <c r="V15" i="5"/>
  <c r="R15" i="5"/>
  <c r="N15" i="5"/>
  <c r="J15" i="5"/>
  <c r="W15" i="5"/>
  <c r="S15" i="5"/>
  <c r="O15" i="5"/>
  <c r="K15" i="5"/>
  <c r="C15" i="5"/>
  <c r="U12" i="5"/>
  <c r="J13" i="5"/>
  <c r="V12" i="5"/>
  <c r="S12" i="5"/>
  <c r="T12" i="5"/>
  <c r="L12" i="5"/>
  <c r="C12" i="5"/>
  <c r="N9" i="5"/>
  <c r="W9" i="5"/>
  <c r="J9" i="4"/>
  <c r="I13" i="5"/>
  <c r="K12" i="5"/>
  <c r="N12" i="5"/>
  <c r="M12" i="5"/>
  <c r="P12" i="5"/>
  <c r="E12" i="5"/>
  <c r="N11" i="5"/>
  <c r="B9" i="5"/>
  <c r="H9" i="5"/>
  <c r="S9" i="5"/>
  <c r="C9" i="5"/>
  <c r="K9" i="5"/>
  <c r="J9" i="5"/>
  <c r="O9" i="5"/>
  <c r="B8" i="5"/>
  <c r="I8" i="5"/>
  <c r="Q8" i="5"/>
  <c r="E14" i="5"/>
  <c r="B13" i="5"/>
  <c r="W13" i="5"/>
  <c r="V13" i="5"/>
  <c r="U13" i="5"/>
  <c r="T13" i="5"/>
  <c r="S13" i="5"/>
  <c r="Q13" i="5"/>
  <c r="P13" i="5"/>
  <c r="O13" i="5"/>
  <c r="N13" i="5"/>
  <c r="C13" i="5"/>
  <c r="X13" i="5"/>
  <c r="R13" i="5"/>
  <c r="E13" i="5"/>
  <c r="D13" i="5"/>
  <c r="M13" i="5"/>
  <c r="L13" i="5"/>
  <c r="K13" i="5"/>
  <c r="H13" i="5"/>
  <c r="I11" i="5"/>
  <c r="E11" i="5"/>
  <c r="D11" i="5"/>
  <c r="V11" i="5"/>
  <c r="S11" i="5"/>
  <c r="P11" i="5"/>
  <c r="F11" i="5"/>
  <c r="K11" i="5"/>
  <c r="J12" i="5"/>
  <c r="F12" i="5"/>
  <c r="R12" i="5"/>
  <c r="Q12" i="5"/>
  <c r="I12" i="5"/>
  <c r="B12" i="5"/>
  <c r="O12" i="5"/>
  <c r="H12" i="5"/>
  <c r="X12" i="5"/>
  <c r="W12" i="5"/>
  <c r="B11" i="5"/>
  <c r="T11" i="5"/>
  <c r="X11" i="5"/>
  <c r="R11" i="5"/>
  <c r="M11" i="5"/>
  <c r="H11" i="5"/>
  <c r="W11" i="5"/>
  <c r="Q11" i="5"/>
  <c r="L11" i="5"/>
  <c r="U11" i="5"/>
  <c r="O11" i="5"/>
  <c r="J11" i="5"/>
  <c r="E10" i="5"/>
  <c r="V9" i="5"/>
  <c r="R9" i="5"/>
  <c r="U9" i="5"/>
  <c r="Q9" i="5"/>
  <c r="E9" i="5"/>
  <c r="M9" i="5"/>
  <c r="I9" i="5"/>
  <c r="X9" i="5"/>
  <c r="T9" i="5"/>
  <c r="F9" i="5"/>
  <c r="D9" i="5"/>
  <c r="P9" i="5"/>
  <c r="V8" i="5"/>
  <c r="N8" i="5"/>
  <c r="E8" i="5"/>
  <c r="U8" i="5"/>
  <c r="M8" i="5"/>
  <c r="D8" i="5"/>
  <c r="S8" i="5"/>
  <c r="K8" i="5"/>
  <c r="F8" i="5"/>
  <c r="X8" i="5"/>
  <c r="P8" i="5"/>
  <c r="H8" i="5"/>
  <c r="R8" i="5"/>
  <c r="J8" i="5"/>
  <c r="W8" i="5"/>
  <c r="O8" i="5"/>
  <c r="T8" i="5"/>
  <c r="L8" i="5"/>
  <c r="B4" i="5"/>
  <c r="E6" i="5"/>
  <c r="J4" i="4"/>
  <c r="R4" i="5"/>
  <c r="D4" i="5"/>
  <c r="L4" i="5"/>
  <c r="M7" i="5"/>
  <c r="U7" i="5"/>
  <c r="C7" i="5"/>
  <c r="X7" i="5"/>
  <c r="I7" i="5"/>
  <c r="O7" i="5"/>
  <c r="R7" i="5"/>
  <c r="N7" i="5"/>
  <c r="L7" i="5"/>
  <c r="J7" i="5"/>
  <c r="H7" i="5"/>
  <c r="F7" i="5"/>
  <c r="E7" i="5"/>
  <c r="B7" i="5"/>
  <c r="Q7" i="5"/>
  <c r="V7" i="5"/>
  <c r="T7" i="5"/>
  <c r="W5" i="5"/>
  <c r="R5" i="5"/>
  <c r="K5" i="5"/>
  <c r="Q5" i="5"/>
  <c r="U5" i="5"/>
  <c r="P5" i="5"/>
  <c r="S5" i="5"/>
  <c r="B5" i="5"/>
  <c r="H5" i="5"/>
  <c r="X5" i="5"/>
  <c r="N5" i="5"/>
  <c r="V5" i="5"/>
  <c r="T5" i="5"/>
  <c r="O5" i="5"/>
  <c r="F5" i="5"/>
  <c r="W7" i="5"/>
  <c r="D7" i="5"/>
  <c r="S7" i="5"/>
  <c r="P7" i="5"/>
  <c r="L5" i="5"/>
  <c r="I5" i="5"/>
  <c r="E5" i="5"/>
  <c r="C5" i="5"/>
  <c r="M5" i="5"/>
  <c r="J5" i="5"/>
  <c r="E4" i="5"/>
  <c r="P4" i="5"/>
  <c r="J4" i="5"/>
  <c r="O4" i="5"/>
  <c r="T4" i="5"/>
  <c r="Q4" i="5"/>
  <c r="X4" i="5"/>
  <c r="V4" i="5"/>
  <c r="B22" i="5"/>
  <c r="B18" i="5"/>
  <c r="B14" i="5"/>
  <c r="B10" i="5"/>
  <c r="B6" i="5"/>
  <c r="S22" i="5"/>
  <c r="S18" i="5"/>
  <c r="S14" i="5"/>
  <c r="S10" i="5"/>
  <c r="S6" i="5"/>
  <c r="H22" i="5"/>
  <c r="H18" i="5"/>
  <c r="H14" i="5"/>
  <c r="H10" i="5"/>
  <c r="H6" i="5"/>
  <c r="D18" i="5"/>
  <c r="D6" i="5"/>
  <c r="D14" i="5"/>
  <c r="V22" i="5"/>
  <c r="V18" i="5"/>
  <c r="V14" i="5"/>
  <c r="V10" i="5"/>
  <c r="V6" i="5"/>
  <c r="P22" i="5"/>
  <c r="P18" i="5"/>
  <c r="P14" i="5"/>
  <c r="P10" i="5"/>
  <c r="P6" i="5"/>
  <c r="K10" i="5"/>
  <c r="T6" i="5"/>
  <c r="Q14" i="5"/>
  <c r="N22" i="5"/>
  <c r="N18" i="5"/>
  <c r="N14" i="5"/>
  <c r="N10" i="5"/>
  <c r="N6" i="5"/>
  <c r="L22" i="5"/>
  <c r="L18" i="5"/>
  <c r="L14" i="5"/>
  <c r="L10" i="5"/>
  <c r="L6" i="5"/>
  <c r="I22" i="5"/>
  <c r="I18" i="5"/>
  <c r="I14" i="5"/>
  <c r="I10" i="5"/>
  <c r="I6" i="5"/>
  <c r="T22" i="5"/>
  <c r="T14" i="5"/>
  <c r="Q18" i="5"/>
  <c r="Q10" i="5"/>
  <c r="Q6" i="5"/>
  <c r="W22" i="5"/>
  <c r="W18" i="5"/>
  <c r="W14" i="5"/>
  <c r="W10" i="5"/>
  <c r="W6" i="5"/>
  <c r="R22" i="5"/>
  <c r="R18" i="5"/>
  <c r="R14" i="5"/>
  <c r="R10" i="5"/>
  <c r="R6" i="5"/>
  <c r="J22" i="5"/>
  <c r="J18" i="5"/>
  <c r="J14" i="5"/>
  <c r="J10" i="5"/>
  <c r="J6" i="5"/>
  <c r="F22" i="5"/>
  <c r="F18" i="5"/>
  <c r="F14" i="5"/>
  <c r="F10" i="5"/>
  <c r="F6" i="5"/>
  <c r="C22" i="5"/>
  <c r="C18" i="5"/>
  <c r="C14" i="5"/>
  <c r="C10" i="5"/>
  <c r="C6" i="5"/>
  <c r="T18" i="5"/>
  <c r="T10" i="5"/>
  <c r="Q22" i="5"/>
  <c r="X22" i="5"/>
  <c r="X18" i="5"/>
  <c r="X14" i="5"/>
  <c r="X10" i="5"/>
  <c r="X6" i="5"/>
  <c r="U22" i="5"/>
  <c r="U18" i="5"/>
  <c r="U14" i="5"/>
  <c r="U10" i="5"/>
  <c r="U6" i="5"/>
  <c r="O22" i="5"/>
  <c r="O18" i="5"/>
  <c r="O14" i="5"/>
  <c r="O10" i="5"/>
  <c r="O6" i="5"/>
  <c r="M22" i="5"/>
  <c r="M18" i="5"/>
  <c r="M14" i="5"/>
  <c r="M10" i="5"/>
  <c r="M6" i="5"/>
  <c r="N4" i="5"/>
  <c r="S4" i="5"/>
  <c r="K4" i="5"/>
  <c r="F4" i="5"/>
  <c r="H4" i="5"/>
  <c r="C4" i="5"/>
  <c r="U4" i="5"/>
  <c r="M4" i="5"/>
  <c r="W4" i="5"/>
  <c r="J3" i="4"/>
  <c r="B3" i="5"/>
  <c r="W3" i="5"/>
  <c r="U3" i="5"/>
  <c r="S3" i="5"/>
  <c r="Q3" i="5"/>
  <c r="O3" i="5"/>
  <c r="M3" i="5"/>
  <c r="K3" i="5"/>
  <c r="I3" i="5"/>
  <c r="E3" i="5"/>
  <c r="C3" i="5"/>
  <c r="X3" i="5"/>
  <c r="V3" i="5"/>
  <c r="T3" i="5"/>
  <c r="R3" i="5"/>
  <c r="P3" i="5"/>
  <c r="N3" i="5"/>
  <c r="L3" i="5"/>
  <c r="J3" i="5"/>
  <c r="H3" i="5"/>
  <c r="F3" i="5"/>
  <c r="S2" i="5"/>
  <c r="L2" i="5"/>
  <c r="D2" i="5"/>
  <c r="U2" i="5"/>
  <c r="V2" i="5"/>
  <c r="B2" i="5"/>
  <c r="F2" i="5"/>
  <c r="O2" i="5"/>
  <c r="W2" i="5"/>
  <c r="T2" i="5"/>
  <c r="M2" i="5"/>
  <c r="N2" i="5"/>
  <c r="H2" i="5"/>
  <c r="P2" i="5"/>
  <c r="X2" i="5"/>
  <c r="I2" i="5"/>
  <c r="Q2" i="5"/>
  <c r="J2" i="5"/>
  <c r="R2" i="5"/>
  <c r="K2" i="5"/>
  <c r="C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3" i="1" l="1"/>
  <c r="AA5" i="3" s="1"/>
  <c r="K3" i="4" s="1"/>
  <c r="H4" i="1"/>
  <c r="AA6" i="3" s="1"/>
  <c r="K4" i="4" s="1"/>
  <c r="H6" i="1"/>
  <c r="AA8" i="3" s="1"/>
  <c r="K6" i="4" s="1"/>
  <c r="H7" i="1"/>
  <c r="AA9" i="3" s="1"/>
  <c r="K7" i="4" s="1"/>
  <c r="H5" i="1"/>
  <c r="AA7" i="3" s="1"/>
  <c r="K5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2" i="1"/>
  <c r="AA14" i="3" s="1"/>
  <c r="K12" i="4" s="1"/>
  <c r="H13" i="1"/>
  <c r="AA15" i="3" s="1"/>
  <c r="K13" i="4" s="1"/>
  <c r="H14" i="1"/>
  <c r="AA16" i="3" s="1"/>
  <c r="K14" i="4" s="1"/>
  <c r="H15" i="1"/>
  <c r="AA17" i="3" s="1"/>
  <c r="K15" i="4" s="1"/>
  <c r="H16" i="1"/>
  <c r="AA18" i="3" s="1"/>
  <c r="K16" i="4" s="1"/>
  <c r="H17" i="1"/>
  <c r="AA19" i="3" s="1"/>
  <c r="K17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H2" i="1"/>
  <c r="AA4" i="3" s="1"/>
  <c r="K2" i="4" s="1"/>
  <c r="F3" i="1" l="1"/>
  <c r="F5" i="1"/>
  <c r="F6" i="1"/>
  <c r="F4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  <c r="E3" i="1"/>
  <c r="E5" i="1"/>
  <c r="E6" i="1"/>
  <c r="E7" i="1"/>
  <c r="E4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<sst xmlns="http://schemas.openxmlformats.org/spreadsheetml/2006/main" count="107" uniqueCount="65">
  <si>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</si>
  <si>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</si>
  <si>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</si>
  <si>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</si>
  <si>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</si>
  <si>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</si>
  <si>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</si>
  <si>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</si>
  <si>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</si>
  <si>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</si>
  <si>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</si>
  <si>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</si>
  <si>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</si>
  <si>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</si>
  <si>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</si>
  <si>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</si>
  <si>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</si>
  <si>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</si>
  <si>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</si>
  <si>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</si>
  <si>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</si>
  <si>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</si>
  <si>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</si>
  <si>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</si>
  <si>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</si>
  <si>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</si>
  <si>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</si>
  <si>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</si>
  <si>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</si>
  <si>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</si>
  <si>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</si>
  <si>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</si>
  <si>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</si>
  <si>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</si>
  <si>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</si>
  <si>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</si>
  <si>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</si>
  <si>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</si>
  <si>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</si>
  <si>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</si>
  <si>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</si>
  <si>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</si>
  <si>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</si>
  <si>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</si>
  <si>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</si>
  <si>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</si>
  <si>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</si>
  <si>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</si>
  <si>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</si>
  <si>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</si>
  <si>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</si>
  <si>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</si>
  <si>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FMPS_BLK</t>
  </si>
  <si>
    <t>MPS Monitoreado</t>
  </si>
  <si>
    <t>PIMPS_1</t>
  </si>
  <si>
    <t>PIMPS_2</t>
  </si>
  <si>
    <t>FMPS_MON</t>
  </si>
  <si>
    <t>FMPS_PMF</t>
  </si>
  <si>
    <t>PFMPS_1</t>
  </si>
  <si>
    <t>PFMPS_2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</si>
  <si>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</si>
  <si>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</si>
  <si>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</si>
  <si>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SR(THIP-003)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</si>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</sst>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11"/>
    </sheetView>
  </sheetViews>
  <sheetFormatPr baseColWidth="10" defaultRowHeight="15" x14ac:dyDescent="0.25"/>
  <cols>
    <col min="1" max="2" width="16.7109375" style="2" customWidth="1"/>
    <col min="3" max="4" width="16.7109375" style="31" customWidth="1"/>
    <col min="5" max="5" width="12.42578125" style="15" customWidth="1"/>
    <col min="6" max="6" width="11.42578125" style="15"/>
    <col min="7" max="7" width="26.7109375" style="9" customWidth="1"/>
    <col min="8" max="8" width="19.7109375" style="31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28" t="s">
        <v>54</v>
      </c>
      <c r="D1" s="29" t="s">
        <v>55</v>
      </c>
      <c r="E1" s="25" t="s">
        <v>12</v>
      </c>
      <c r="F1" s="25" t="s">
        <v>11</v>
      </c>
      <c r="G1" s="7" t="s">
        <v>2</v>
      </c>
      <c r="H1" s="39" t="s">
        <v>52</v>
      </c>
      <c r="I1" s="3" t="s">
        <v>3</v>
      </c>
      <c r="J1" s="4" t="s">
        <v>4</v>
      </c>
    </row>
    <row r="2" spans="1:10" x14ac:dyDescent="0.25">
      <c r="A2" s="1"/>
      <c r="B2" s="6" t="s">
        <v>64</v>
      </c>
      <c r="C2" s="30" t="str">
        <f>IF($A2&lt;&gt;"",IFERROR(VLOOKUP($A2,#REF!,14,FALSE),""),"")</f>
        <v/>
      </c>
      <c r="D2" s="30" t="str">
        <f>IF($A2&lt;&gt;"",IFERROR(VLOOKUP($A2,#REF!,20,FALSE),""),"")</f>
        <v/>
      </c>
      <c r="E2" s="14" t="str">
        <f>IF($A2&lt;&gt;"",IFERROR(VLOOKUP($A2,#REF!,25,FALSE),""),"")</f>
        <v/>
      </c>
      <c r="F2" s="14" t="str">
        <f>IF($A2&lt;&gt;"",IFERROR(VLOOKUP($A2,#REF!,24,FALSE),""),"")</f>
        <v/>
      </c>
      <c r="G2" s="8" t="str">
        <f>IF($A2&lt;&gt;"",IFERROR(VLOOKUP($A2,#REF!,21,FALSE),""),"")</f>
        <v/>
      </c>
      <c r="H2" s="30" t="str">
        <f>IF($A2&lt;&gt;"",IFERROR(VLOOKUP($A2,#REF!,26,FALSE),""),"")</f>
        <v/>
      </c>
      <c r="I2" s="5"/>
    </row>
    <row r="3" spans="1:10" x14ac:dyDescent="0.25">
      <c r="A3" s="1"/>
      <c r="B3" s="6"/>
      <c r="C3" s="30" t="str">
        <f>IF($A3&lt;&gt;"",IFERROR(VLOOKUP($A3,#REF!,14,FALSE),""),"")</f>
        <v/>
      </c>
      <c r="D3" s="30" t="str">
        <f>IF($A3&lt;&gt;"",IFERROR(VLOOKUP($A3,#REF!,20,FALSE),""),"")</f>
        <v/>
      </c>
      <c r="E3" s="14" t="str">
        <f>IF($A3&lt;&gt;"",IFERROR(VLOOKUP($A3,#REF!,25,FALSE),""),"")</f>
        <v/>
      </c>
      <c r="F3" s="14" t="str">
        <f>IF($A3&lt;&gt;"",IFERROR(VLOOKUP($A3,#REF!,24,FALSE),""),"")</f>
        <v/>
      </c>
      <c r="G3" s="8" t="str">
        <f>IF($A3&lt;&gt;"",IFERROR(VLOOKUP($A3,#REF!,21,FALSE),""),"")</f>
        <v/>
      </c>
      <c r="H3" s="30" t="str">
        <f>IF($A3&lt;&gt;"",IFERROR(VLOOKUP($A3,#REF!,26,FALSE),""),"")</f>
        <v/>
      </c>
      <c r="I3" s="5"/>
    </row>
    <row r="4" spans="1:10" x14ac:dyDescent="0.25">
      <c r="A4" s="1"/>
      <c r="B4" s="6"/>
      <c r="C4" s="30" t="str">
        <f>IF($A4&lt;&gt;"",IFERROR(VLOOKUP($A4,#REF!,14,FALSE),""),"")</f>
        <v/>
      </c>
      <c r="D4" s="30" t="str">
        <f>IF($A4&lt;&gt;"",IFERROR(VLOOKUP($A4,#REF!,20,FALSE),""),"")</f>
        <v/>
      </c>
      <c r="E4" s="14" t="str">
        <f>IF($A4&lt;&gt;"",IFERROR(VLOOKUP($A4,#REF!,25,FALSE),""),"")</f>
        <v/>
      </c>
      <c r="F4" s="14" t="str">
        <f>IF($A4&lt;&gt;"",IFERROR(VLOOKUP($A4,#REF!,24,FALSE),""),"")</f>
        <v/>
      </c>
      <c r="G4" s="8" t="str">
        <f>IF($A4&lt;&gt;"",IFERROR(VLOOKUP($A4,#REF!,21,FALSE),""),"")</f>
        <v/>
      </c>
      <c r="H4" s="30" t="str">
        <f>IF($A4&lt;&gt;"",IFERROR(VLOOKUP($A4,#REF!,26,FALSE),""),"")</f>
        <v/>
      </c>
      <c r="I4" s="5"/>
    </row>
    <row r="5" spans="1:10" x14ac:dyDescent="0.25">
      <c r="A5" s="1"/>
      <c r="B5" s="6"/>
      <c r="C5" s="30" t="str">
        <f>IF($A5&lt;&gt;"",IFERROR(VLOOKUP($A5,#REF!,14,FALSE),""),"")</f>
        <v/>
      </c>
      <c r="D5" s="30" t="str">
        <f>IF($A5&lt;&gt;"",IFERROR(VLOOKUP($A5,#REF!,20,FALSE),""),"")</f>
        <v/>
      </c>
      <c r="E5" s="14" t="str">
        <f>IF($A5&lt;&gt;"",IFERROR(VLOOKUP($A5,#REF!,25,FALSE),""),"")</f>
        <v/>
      </c>
      <c r="F5" s="14" t="str">
        <f>IF($A5&lt;&gt;"",IFERROR(VLOOKUP($A5,#REF!,24,FALSE),""),"")</f>
        <v/>
      </c>
      <c r="G5" s="8" t="str">
        <f>IF($A5&lt;&gt;"",IFERROR(VLOOKUP($A5,#REF!,21,FALSE),""),"")</f>
        <v/>
      </c>
      <c r="H5" s="30" t="str">
        <f>IF($A5&lt;&gt;"",IFERROR(VLOOKUP($A5,#REF!,26,FALSE),""),"")</f>
        <v/>
      </c>
      <c r="I5" s="5"/>
    </row>
    <row r="6" spans="1:10" x14ac:dyDescent="0.25">
      <c r="A6" s="1"/>
      <c r="B6" s="6"/>
      <c r="C6" s="30" t="str">
        <f>IF($A6&lt;&gt;"",IFERROR(VLOOKUP($A6,#REF!,14,FALSE),""),"")</f>
        <v/>
      </c>
      <c r="D6" s="30" t="str">
        <f>IF($A6&lt;&gt;"",IFERROR(VLOOKUP($A6,#REF!,20,FALSE),""),"")</f>
        <v/>
      </c>
      <c r="E6" s="14" t="str">
        <f>IF($A6&lt;&gt;"",IFERROR(VLOOKUP($A6,#REF!,25,FALSE),""),"")</f>
        <v/>
      </c>
      <c r="F6" s="14" t="str">
        <f>IF($A6&lt;&gt;"",IFERROR(VLOOKUP($A6,#REF!,24,FALSE),""),"")</f>
        <v/>
      </c>
      <c r="G6" s="8" t="str">
        <f>IF($A6&lt;&gt;"",IFERROR(VLOOKUP($A6,#REF!,21,FALSE),""),"")</f>
        <v/>
      </c>
      <c r="H6" s="30" t="str">
        <f>IF($A6&lt;&gt;"",IFERROR(VLOOKUP($A6,#REF!,26,FALSE),""),"")</f>
        <v/>
      </c>
      <c r="I6" s="5"/>
    </row>
    <row r="7" spans="1:10" x14ac:dyDescent="0.25">
      <c r="A7" s="1"/>
      <c r="B7" s="6"/>
      <c r="C7" s="30" t="str">
        <f>IF($A7&lt;&gt;"",IFERROR(VLOOKUP($A7,#REF!,14,FALSE),""),"")</f>
        <v/>
      </c>
      <c r="D7" s="30" t="str">
        <f>IF($A7&lt;&gt;"",IFERROR(VLOOKUP($A7,#REF!,20,FALSE),""),"")</f>
        <v/>
      </c>
      <c r="E7" s="14" t="str">
        <f>IF($A7&lt;&gt;"",IFERROR(VLOOKUP($A7,#REF!,25,FALSE),""),"")</f>
        <v/>
      </c>
      <c r="F7" s="14" t="str">
        <f>IF($A7&lt;&gt;"",IFERROR(VLOOKUP($A7,#REF!,24,FALSE),""),"")</f>
        <v/>
      </c>
      <c r="G7" s="8" t="str">
        <f>IF($A7&lt;&gt;"",IFERROR(VLOOKUP($A7,#REF!,21,FALSE),""),"")</f>
        <v/>
      </c>
      <c r="H7" s="30" t="str">
        <f>IF($A7&lt;&gt;"",IFERROR(VLOOKUP($A7,#REF!,26,FALSE),""),"")</f>
        <v/>
      </c>
      <c r="I7" s="5"/>
    </row>
    <row r="8" spans="1:10" x14ac:dyDescent="0.25">
      <c r="A8" s="1"/>
      <c r="B8" s="6"/>
      <c r="C8" s="30" t="str">
        <f>IF($A8&lt;&gt;"",IFERROR(VLOOKUP($A8,#REF!,14,FALSE),""),"")</f>
        <v/>
      </c>
      <c r="D8" s="30" t="str">
        <f>IF($A8&lt;&gt;"",IFERROR(VLOOKUP($A8,#REF!,20,FALSE),""),"")</f>
        <v/>
      </c>
      <c r="E8" s="14" t="str">
        <f>IF($A8&lt;&gt;"",IFERROR(VLOOKUP($A8,#REF!,25,FALSE),""),"")</f>
        <v/>
      </c>
      <c r="F8" s="14" t="str">
        <f>IF($A8&lt;&gt;"",IFERROR(VLOOKUP($A8,#REF!,24,FALSE),""),"")</f>
        <v/>
      </c>
      <c r="G8" s="8" t="str">
        <f>IF($A8&lt;&gt;"",IFERROR(VLOOKUP($A8,#REF!,21,FALSE),""),"")</f>
        <v/>
      </c>
      <c r="H8" s="30" t="str">
        <f>IF($A8&lt;&gt;"",IFERROR(VLOOKUP($A8,#REF!,26,FALSE),""),"")</f>
        <v/>
      </c>
      <c r="I8" s="5"/>
    </row>
    <row r="9" spans="1:10" x14ac:dyDescent="0.25">
      <c r="A9" s="1"/>
      <c r="B9" s="6"/>
      <c r="C9" s="30" t="str">
        <f>IF($A9&lt;&gt;"",IFERROR(VLOOKUP($A9,#REF!,14,FALSE),""),"")</f>
        <v/>
      </c>
      <c r="D9" s="30" t="str">
        <f>IF($A9&lt;&gt;"",IFERROR(VLOOKUP($A9,#REF!,20,FALSE),""),"")</f>
        <v/>
      </c>
      <c r="E9" s="14" t="str">
        <f>IF($A9&lt;&gt;"",IFERROR(VLOOKUP($A9,#REF!,25,FALSE),""),"")</f>
        <v/>
      </c>
      <c r="F9" s="14" t="str">
        <f>IF($A9&lt;&gt;"",IFERROR(VLOOKUP($A9,#REF!,24,FALSE),""),"")</f>
        <v/>
      </c>
      <c r="G9" s="8" t="str">
        <f>IF($A9&lt;&gt;"",IFERROR(VLOOKUP($A9,#REF!,21,FALSE),""),"")</f>
        <v/>
      </c>
      <c r="H9" s="30" t="str">
        <f>IF($A9&lt;&gt;"",IFERROR(VLOOKUP($A9,#REF!,26,FALSE),""),"")</f>
        <v/>
      </c>
      <c r="I9" s="5"/>
    </row>
    <row r="10" spans="1:10" x14ac:dyDescent="0.25">
      <c r="A10" s="1"/>
      <c r="B10" s="6"/>
      <c r="C10" s="30" t="str">
        <f>IF($A10&lt;&gt;"",IFERROR(VLOOKUP($A10,#REF!,14,FALSE),""),"")</f>
        <v/>
      </c>
      <c r="D10" s="30" t="str">
        <f>IF($A10&lt;&gt;"",IFERROR(VLOOKUP($A10,#REF!,20,FALSE),""),"")</f>
        <v/>
      </c>
      <c r="E10" s="14" t="str">
        <f>IF($A10&lt;&gt;"",IFERROR(VLOOKUP($A10,#REF!,25,FALSE),""),"")</f>
        <v/>
      </c>
      <c r="F10" s="14" t="str">
        <f>IF($A10&lt;&gt;"",IFERROR(VLOOKUP($A10,#REF!,24,FALSE),""),"")</f>
        <v/>
      </c>
      <c r="G10" s="8" t="str">
        <f>IF($A10&lt;&gt;"",IFERROR(VLOOKUP($A10,#REF!,21,FALSE),""),"")</f>
        <v/>
      </c>
      <c r="H10" s="30" t="str">
        <f>IF($A10&lt;&gt;"",IFERROR(VLOOKUP($A10,#REF!,26,FALSE),""),"")</f>
        <v/>
      </c>
      <c r="I10" s="5"/>
    </row>
    <row r="11" spans="1:10" x14ac:dyDescent="0.25">
      <c r="A11" s="1"/>
      <c r="B11" s="6"/>
      <c r="C11" s="30" t="str">
        <f>IF($A11&lt;&gt;"",IFERROR(VLOOKUP($A11,#REF!,14,FALSE),""),"")</f>
        <v/>
      </c>
      <c r="D11" s="30" t="str">
        <f>IF($A11&lt;&gt;"",IFERROR(VLOOKUP($A11,#REF!,20,FALSE),""),"")</f>
        <v/>
      </c>
      <c r="E11" s="14" t="str">
        <f>IF($A11&lt;&gt;"",IFERROR(VLOOKUP($A11,#REF!,25,FALSE),""),"")</f>
        <v/>
      </c>
      <c r="F11" s="14" t="str">
        <f>IF($A11&lt;&gt;"",IFERROR(VLOOKUP($A11,#REF!,24,FALSE),""),"")</f>
        <v/>
      </c>
      <c r="G11" s="8" t="str">
        <f>IF($A11&lt;&gt;"",IFERROR(VLOOKUP($A11,#REF!,21,FALSE),""),"")</f>
        <v/>
      </c>
      <c r="H11" s="30" t="str">
        <f>IF($A11&lt;&gt;"",IFERROR(VLOOKUP($A11,#REF!,26,FALSE),""),"")</f>
        <v/>
      </c>
      <c r="I11" s="5"/>
    </row>
    <row r="12" spans="1:10" x14ac:dyDescent="0.25">
      <c r="A12" s="1"/>
      <c r="B12" s="6"/>
      <c r="C12" s="30" t="str">
        <f>IF($A12&lt;&gt;"",IFERROR(VLOOKUP($A12,#REF!,14,FALSE),""),"")</f>
        <v/>
      </c>
      <c r="D12" s="30" t="str">
        <f>IF($A12&lt;&gt;"",IFERROR(VLOOKUP($A12,#REF!,20,FALSE),""),"")</f>
        <v/>
      </c>
      <c r="E12" s="14" t="str">
        <f>IF($A12&lt;&gt;"",IFERROR(VLOOKUP($A12,#REF!,25,FALSE),""),"")</f>
        <v/>
      </c>
      <c r="F12" s="14" t="str">
        <f>IF($A12&lt;&gt;"",IFERROR(VLOOKUP($A12,#REF!,24,FALSE),""),"")</f>
        <v/>
      </c>
      <c r="G12" s="8" t="str">
        <f>IF($A12&lt;&gt;"",IFERROR(VLOOKUP($A12,#REF!,21,FALSE),""),"")</f>
        <v/>
      </c>
      <c r="H12" s="30" t="str">
        <f>IF($A12&lt;&gt;"",IFERROR(VLOOKUP($A12,#REF!,26,FALSE),""),"")</f>
        <v/>
      </c>
      <c r="I12" s="5"/>
    </row>
    <row r="13" spans="1:10" x14ac:dyDescent="0.25">
      <c r="A13" s="1"/>
      <c r="B13" s="6"/>
      <c r="C13" s="30" t="str">
        <f>IF($A13&lt;&gt;"",IFERROR(VLOOKUP($A13,#REF!,14,FALSE),""),"")</f>
        <v/>
      </c>
      <c r="D13" s="30" t="str">
        <f>IF($A13&lt;&gt;"",IFERROR(VLOOKUP($A13,#REF!,20,FALSE),""),"")</f>
        <v/>
      </c>
      <c r="E13" s="14" t="str">
        <f>IF($A13&lt;&gt;"",IFERROR(VLOOKUP($A13,#REF!,25,FALSE),""),"")</f>
        <v/>
      </c>
      <c r="F13" s="14" t="str">
        <f>IF($A13&lt;&gt;"",IFERROR(VLOOKUP($A13,#REF!,24,FALSE),""),"")</f>
        <v/>
      </c>
      <c r="G13" s="8" t="str">
        <f>IF($A13&lt;&gt;"",IFERROR(VLOOKUP($A13,#REF!,21,FALSE),""),"")</f>
        <v/>
      </c>
      <c r="H13" s="30" t="str">
        <f>IF($A13&lt;&gt;"",IFERROR(VLOOKUP($A13,#REF!,26,FALSE),""),"")</f>
        <v/>
      </c>
      <c r="I13" s="5"/>
    </row>
    <row r="14" spans="1:10" x14ac:dyDescent="0.25">
      <c r="A14" s="1"/>
      <c r="B14" s="6"/>
      <c r="C14" s="30" t="str">
        <f>IF($A14&lt;&gt;"",IFERROR(VLOOKUP($A14,#REF!,14,FALSE),""),"")</f>
        <v/>
      </c>
      <c r="D14" s="30" t="str">
        <f>IF($A14&lt;&gt;"",IFERROR(VLOOKUP($A14,#REF!,20,FALSE),""),"")</f>
        <v/>
      </c>
      <c r="E14" s="14" t="str">
        <f>IF($A14&lt;&gt;"",IFERROR(VLOOKUP($A14,#REF!,25,FALSE),""),"")</f>
        <v/>
      </c>
      <c r="F14" s="14" t="str">
        <f>IF($A14&lt;&gt;"",IFERROR(VLOOKUP($A14,#REF!,24,FALSE),""),"")</f>
        <v/>
      </c>
      <c r="G14" s="8" t="str">
        <f>IF($A14&lt;&gt;"",IFERROR(VLOOKUP($A14,#REF!,21,FALSE),""),"")</f>
        <v/>
      </c>
      <c r="H14" s="30" t="str">
        <f>IF($A14&lt;&gt;"",IFERROR(VLOOKUP($A14,#REF!,26,FALSE),""),"")</f>
        <v/>
      </c>
      <c r="I14" s="5"/>
    </row>
    <row r="15" spans="1:10" x14ac:dyDescent="0.25">
      <c r="A15" s="1"/>
      <c r="B15" s="6"/>
      <c r="C15" s="30" t="str">
        <f>IF($A15&lt;&gt;"",IFERROR(VLOOKUP($A15,#REF!,14,FALSE),""),"")</f>
        <v/>
      </c>
      <c r="D15" s="30" t="str">
        <f>IF($A15&lt;&gt;"",IFERROR(VLOOKUP($A15,#REF!,20,FALSE),""),"")</f>
        <v/>
      </c>
      <c r="E15" s="14" t="str">
        <f>IF($A15&lt;&gt;"",IFERROR(VLOOKUP($A15,#REF!,25,FALSE),""),"")</f>
        <v/>
      </c>
      <c r="F15" s="14" t="str">
        <f>IF($A15&lt;&gt;"",IFERROR(VLOOKUP($A15,#REF!,24,FALSE),""),"")</f>
        <v/>
      </c>
      <c r="G15" s="8" t="str">
        <f>IF($A15&lt;&gt;"",IFERROR(VLOOKUP($A15,#REF!,21,FALSE),""),"")</f>
        <v/>
      </c>
      <c r="H15" s="30" t="str">
        <f>IF($A15&lt;&gt;"",IFERROR(VLOOKUP($A15,#REF!,26,FALSE),""),"")</f>
        <v/>
      </c>
      <c r="I15" s="5"/>
    </row>
    <row r="16" spans="1:10" x14ac:dyDescent="0.25">
      <c r="A16" s="1"/>
      <c r="B16" s="6"/>
      <c r="C16" s="30" t="str">
        <f>IF($A16&lt;&gt;"",IFERROR(VLOOKUP($A16,#REF!,14,FALSE),""),"")</f>
        <v/>
      </c>
      <c r="D16" s="30" t="str">
        <f>IF($A16&lt;&gt;"",IFERROR(VLOOKUP($A16,#REF!,20,FALSE),""),"")</f>
        <v/>
      </c>
      <c r="E16" s="14" t="str">
        <f>IF($A16&lt;&gt;"",IFERROR(VLOOKUP($A16,#REF!,25,FALSE),""),"")</f>
        <v/>
      </c>
      <c r="F16" s="14" t="str">
        <f>IF($A16&lt;&gt;"",IFERROR(VLOOKUP($A16,#REF!,24,FALSE),""),"")</f>
        <v/>
      </c>
      <c r="G16" s="8" t="str">
        <f>IF($A16&lt;&gt;"",IFERROR(VLOOKUP($A16,#REF!,21,FALSE),""),"")</f>
        <v/>
      </c>
      <c r="H16" s="30" t="str">
        <f>IF($A16&lt;&gt;"",IFERROR(VLOOKUP($A16,#REF!,26,FALSE),""),"")</f>
        <v/>
      </c>
      <c r="I16" s="5"/>
    </row>
    <row r="17" spans="1:9" x14ac:dyDescent="0.25">
      <c r="A17" s="1"/>
      <c r="B17" s="6"/>
      <c r="C17" s="30" t="str">
        <f>IF($A17&lt;&gt;"",IFERROR(VLOOKUP($A17,#REF!,14,FALSE),""),"")</f>
        <v/>
      </c>
      <c r="D17" s="30" t="str">
        <f>IF($A17&lt;&gt;"",IFERROR(VLOOKUP($A17,#REF!,20,FALSE),""),"")</f>
        <v/>
      </c>
      <c r="E17" s="14" t="str">
        <f>IF($A17&lt;&gt;"",IFERROR(VLOOKUP($A17,#REF!,25,FALSE),""),"")</f>
        <v/>
      </c>
      <c r="F17" s="14" t="str">
        <f>IF($A17&lt;&gt;"",IFERROR(VLOOKUP($A17,#REF!,24,FALSE),""),"")</f>
        <v/>
      </c>
      <c r="G17" s="8" t="str">
        <f>IF($A17&lt;&gt;"",IFERROR(VLOOKUP($A17,#REF!,21,FALSE),""),"")</f>
        <v/>
      </c>
      <c r="H17" s="30" t="str">
        <f>IF($A17&lt;&gt;"",IFERROR(VLOOKUP($A17,#REF!,26,FALSE),""),"")</f>
        <v/>
      </c>
      <c r="I17" s="5"/>
    </row>
    <row r="18" spans="1:9" x14ac:dyDescent="0.25">
      <c r="A18" s="1"/>
      <c r="B18" s="6"/>
      <c r="C18" s="30" t="str">
        <f>IF($A18&lt;&gt;"",IFERROR(VLOOKUP($A18,#REF!,14,FALSE),""),"")</f>
        <v/>
      </c>
      <c r="D18" s="30" t="str">
        <f>IF($A18&lt;&gt;"",IFERROR(VLOOKUP($A18,#REF!,20,FALSE),""),"")</f>
        <v/>
      </c>
      <c r="E18" s="14" t="str">
        <f>IF($A18&lt;&gt;"",IFERROR(VLOOKUP($A18,#REF!,25,FALSE),""),"")</f>
        <v/>
      </c>
      <c r="F18" s="14" t="str">
        <f>IF($A18&lt;&gt;"",IFERROR(VLOOKUP($A18,#REF!,24,FALSE),""),"")</f>
        <v/>
      </c>
      <c r="G18" s="8" t="str">
        <f>IF($A18&lt;&gt;"",IFERROR(VLOOKUP($A18,#REF!,21,FALSE),""),"")</f>
        <v/>
      </c>
      <c r="H18" s="30" t="str">
        <f>IF($A18&lt;&gt;"",IFERROR(VLOOKUP($A18,#REF!,26,FALSE),""),"")</f>
        <v/>
      </c>
      <c r="I18" s="5"/>
    </row>
    <row r="19" spans="1:9" x14ac:dyDescent="0.25">
      <c r="A19" s="1"/>
      <c r="B19" s="6"/>
      <c r="C19" s="30" t="str">
        <f>IF($A19&lt;&gt;"",IFERROR(VLOOKUP($A19,#REF!,14,FALSE),""),"")</f>
        <v/>
      </c>
      <c r="D19" s="30" t="str">
        <f>IF($A19&lt;&gt;"",IFERROR(VLOOKUP($A19,#REF!,20,FALSE),""),"")</f>
        <v/>
      </c>
      <c r="E19" s="14" t="str">
        <f>IF($A19&lt;&gt;"",IFERROR(VLOOKUP($A19,#REF!,25,FALSE),""),"")</f>
        <v/>
      </c>
      <c r="F19" s="14" t="str">
        <f>IF($A19&lt;&gt;"",IFERROR(VLOOKUP($A19,#REF!,24,FALSE),""),"")</f>
        <v/>
      </c>
      <c r="G19" s="8" t="str">
        <f>IF($A19&lt;&gt;"",IFERROR(VLOOKUP($A19,#REF!,21,FALSE),""),"")</f>
        <v/>
      </c>
      <c r="H19" s="30" t="str">
        <f>IF($A19&lt;&gt;"",IFERROR(VLOOKUP($A19,#REF!,26,FALSE),""),"")</f>
        <v/>
      </c>
      <c r="I19" s="5"/>
    </row>
    <row r="20" spans="1:9" x14ac:dyDescent="0.25">
      <c r="A20" s="1"/>
      <c r="B20" s="6"/>
      <c r="C20" s="30" t="str">
        <f>IF($A20&lt;&gt;"",IFERROR(VLOOKUP($A20,#REF!,14,FALSE),""),"")</f>
        <v/>
      </c>
      <c r="D20" s="30" t="str">
        <f>IF($A20&lt;&gt;"",IFERROR(VLOOKUP($A20,#REF!,20,FALSE),""),"")</f>
        <v/>
      </c>
      <c r="E20" s="14" t="str">
        <f>IF($A20&lt;&gt;"",IFERROR(VLOOKUP($A20,#REF!,25,FALSE),""),"")</f>
        <v/>
      </c>
      <c r="F20" s="14" t="str">
        <f>IF($A20&lt;&gt;"",IFERROR(VLOOKUP($A20,#REF!,24,FALSE),""),"")</f>
        <v/>
      </c>
      <c r="G20" s="8" t="str">
        <f>IF($A20&lt;&gt;"",IFERROR(VLOOKUP($A20,#REF!,21,FALSE),""),"")</f>
        <v/>
      </c>
      <c r="H20" s="30" t="str">
        <f>IF($A20&lt;&gt;"",IFERROR(VLOOKUP($A20,#REF!,26,FALSE),""),"")</f>
        <v/>
      </c>
      <c r="I20" s="5"/>
    </row>
    <row r="21" spans="1:9" x14ac:dyDescent="0.25">
      <c r="A21" s="1"/>
      <c r="B21" s="6"/>
      <c r="C21" s="30" t="str">
        <f>IF($A21&lt;&gt;"",IFERROR(VLOOKUP($A21,#REF!,14,FALSE),""),"")</f>
        <v/>
      </c>
      <c r="D21" s="30" t="str">
        <f>IF($A21&lt;&gt;"",IFERROR(VLOOKUP($A21,#REF!,20,FALSE),""),"")</f>
        <v/>
      </c>
      <c r="E21" s="14" t="str">
        <f>IF($A21&lt;&gt;"",IFERROR(VLOOKUP($A21,#REF!,25,FALSE),""),"")</f>
        <v/>
      </c>
      <c r="F21" s="14" t="str">
        <f>IF($A21&lt;&gt;"",IFERROR(VLOOKUP($A21,#REF!,24,FALSE),""),"")</f>
        <v/>
      </c>
      <c r="G21" s="8" t="str">
        <f>IF($A21&lt;&gt;"",IFERROR(VLOOKUP($A21,#REF!,21,FALSE),""),"")</f>
        <v/>
      </c>
      <c r="H21" s="30" t="str">
        <f>IF($A21&lt;&gt;"",IFERROR(VLOOKUP($A21,#REF!,26,FALSE),""),"")</f>
        <v/>
      </c>
      <c r="I21" s="5"/>
    </row>
    <row r="22" spans="1:9" x14ac:dyDescent="0.25">
      <c r="A22" s="1"/>
      <c r="B22" s="6"/>
      <c r="C22" s="30" t="str">
        <f>IF($A22&lt;&gt;"",IFERROR(VLOOKUP($A22,#REF!,14,FALSE),""),"")</f>
        <v/>
      </c>
      <c r="D22" s="30" t="str">
        <f>IF($A22&lt;&gt;"",IFERROR(VLOOKUP($A22,#REF!,20,FALSE),""),"")</f>
        <v/>
      </c>
      <c r="E22" s="14" t="str">
        <f>IF($A22&lt;&gt;"",IFERROR(VLOOKUP($A22,#REF!,25,FALSE),""),"")</f>
        <v/>
      </c>
      <c r="F22" s="14" t="str">
        <f>IF($A22&lt;&gt;"",IFERROR(VLOOKUP($A22,#REF!,24,FALSE),""),"")</f>
        <v/>
      </c>
      <c r="G22" s="8" t="str">
        <f>IF($A22&lt;&gt;"",IFERROR(VLOOKUP($A22,#REF!,21,FALSE),""),"")</f>
        <v/>
      </c>
      <c r="H22" s="30" t="str">
        <f>IF($A22&lt;&gt;"",IFERROR(VLOOKUP($A22,#REF!,26,FALSE),""),"")</f>
        <v/>
      </c>
      <c r="I22" s="5"/>
    </row>
  </sheetData>
  <sheetProtection algorithmName="SHA-512" hashValue="x+EqRACShn41+VeLletZYIpSuw8YEs3ZEBFpy1XzNEQMtbwsDk0VoF3004Rru+PWyYfKN5agaSjyw4FY6g1+pQ==" saltValue="aqDsoUjdVnKYq2kbUZ9JY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8" zoomScaleNormal="88" zoomScaleSheetLayoutView="50" workbookViewId="0">
      <selection activeCell="T4" sqref="T4:U4"/>
    </sheetView>
  </sheetViews>
  <sheetFormatPr baseColWidth="10" defaultRowHeight="15" x14ac:dyDescent="0.25"/>
  <cols>
    <col min="1" max="1" width="14.28515625" style="2" customWidth="1"/>
    <col min="2" max="2" width="15.140625" style="31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15" bestFit="1" customWidth="1"/>
    <col min="7" max="7" width="6" style="15" customWidth="1"/>
    <col min="8" max="8" width="15.140625" style="31" customWidth="1"/>
    <col min="9" max="9" width="20" style="9" customWidth="1"/>
    <col min="10" max="11" width="5.5703125" style="2" customWidth="1"/>
    <col min="12" max="13" width="6" style="15" customWidth="1"/>
    <col min="14" max="14" width="15.140625" style="31" customWidth="1"/>
    <col min="15" max="15" width="19.85546875" style="9" bestFit="1" customWidth="1"/>
    <col min="16" max="17" width="5.5703125" style="2" customWidth="1"/>
    <col min="18" max="19" width="6" style="15" customWidth="1"/>
    <col min="20" max="20" width="16.5703125" style="31" customWidth="1"/>
    <col min="21" max="21" width="20.42578125" style="2" customWidth="1"/>
    <col min="22" max="22" width="6.5703125" style="2" customWidth="1"/>
    <col min="23" max="23" width="7.140625" style="2" customWidth="1"/>
    <col min="24" max="24" width="6.5703125" style="2" customWidth="1"/>
    <col min="25" max="25" width="9.42578125" style="2" customWidth="1"/>
    <col min="26" max="27" width="11.42578125" style="31"/>
    <col min="28" max="29" width="6.5703125" style="2" bestFit="1" customWidth="1"/>
    <col min="30" max="30" width="12.7109375" style="2" customWidth="1"/>
    <col min="31" max="16384" width="11.42578125" style="2"/>
  </cols>
  <sheetData>
    <row r="1" spans="1:30" ht="34.5" customHeight="1" x14ac:dyDescent="0.25">
      <c r="A1" s="40"/>
      <c r="B1" s="40"/>
      <c r="C1" s="40"/>
      <c r="D1" s="41" t="s">
        <v>20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61</v>
      </c>
      <c r="V1" s="43"/>
      <c r="W1" s="43"/>
      <c r="X1" s="43"/>
    </row>
    <row r="2" spans="1:30" ht="26.25" customHeight="1" x14ac:dyDescent="0.25">
      <c r="A2" s="20"/>
      <c r="B2" s="32"/>
      <c r="C2" s="21"/>
      <c r="D2" s="15"/>
      <c r="E2" s="22"/>
      <c r="F2" s="22" t="s">
        <v>21</v>
      </c>
      <c r="G2" s="19" t="s">
        <v>62</v>
      </c>
      <c r="H2" s="34"/>
      <c r="I2" s="23" t="s">
        <v>22</v>
      </c>
      <c r="J2" s="44" t="s">
        <v>60</v>
      </c>
      <c r="K2" s="44"/>
      <c r="N2" s="35" t="s">
        <v>23</v>
      </c>
      <c r="O2" s="24" t="s">
        <v>53</v>
      </c>
    </row>
    <row r="3" spans="1:30" ht="42" customHeight="1" x14ac:dyDescent="0.25">
      <c r="A3" s="3" t="s">
        <v>24</v>
      </c>
      <c r="B3" s="28" t="s">
        <v>26</v>
      </c>
      <c r="C3" s="7" t="s">
        <v>10</v>
      </c>
      <c r="D3" s="11" t="s">
        <v>13</v>
      </c>
      <c r="E3" s="11" t="s">
        <v>14</v>
      </c>
      <c r="F3" s="25" t="s">
        <v>8</v>
      </c>
      <c r="G3" s="25" t="s">
        <v>15</v>
      </c>
      <c r="H3" s="28" t="s">
        <v>27</v>
      </c>
      <c r="I3" s="7" t="s">
        <v>6</v>
      </c>
      <c r="J3" s="11" t="s">
        <v>13</v>
      </c>
      <c r="K3" s="11" t="s">
        <v>14</v>
      </c>
      <c r="L3" s="25" t="s">
        <v>8</v>
      </c>
      <c r="M3" s="25" t="s">
        <v>15</v>
      </c>
      <c r="N3" s="28" t="s">
        <v>28</v>
      </c>
      <c r="O3" s="7" t="s">
        <v>7</v>
      </c>
      <c r="P3" s="11" t="s">
        <v>13</v>
      </c>
      <c r="Q3" s="11" t="s">
        <v>14</v>
      </c>
      <c r="R3" s="25" t="s">
        <v>8</v>
      </c>
      <c r="S3" s="25" t="s">
        <v>15</v>
      </c>
      <c r="T3" s="28" t="s">
        <v>29</v>
      </c>
      <c r="U3" s="7" t="s">
        <v>25</v>
      </c>
      <c r="V3" s="11" t="s">
        <v>13</v>
      </c>
      <c r="W3" s="11" t="s">
        <v>14</v>
      </c>
      <c r="X3" s="25" t="s">
        <v>8</v>
      </c>
      <c r="Y3" s="25" t="s">
        <v>15</v>
      </c>
      <c r="Z3" s="36" t="s">
        <v>19</v>
      </c>
      <c r="AA3" s="28" t="s">
        <v>9</v>
      </c>
      <c r="AB3" s="26" t="s">
        <v>17</v>
      </c>
      <c r="AC3" s="26" t="s">
        <v>18</v>
      </c>
      <c r="AD3" s="27" t="s">
        <v>16</v>
      </c>
    </row>
    <row r="4" spans="1:30" x14ac:dyDescent="0.25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>
        <v>29.5</v>
      </c>
      <c r="W4" s="1">
        <v>21.7</v>
      </c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1"/>
      <c r="AC4" s="1"/>
      <c r="AD4" s="1" t="s">
        <v>63</v>
      </c>
    </row>
    <row r="5" spans="1:30" x14ac:dyDescent="0.25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1"/>
      <c r="AC5" s="1"/>
      <c r="AD5" s="1" t="s">
        <v>63</v>
      </c>
    </row>
    <row r="6" spans="1:30" x14ac:dyDescent="0.25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1"/>
      <c r="AC6" s="1"/>
      <c r="AD6" s="1" t="s">
        <v>63</v>
      </c>
    </row>
    <row r="7" spans="1:30" x14ac:dyDescent="0.25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1"/>
      <c r="AC7" s="1"/>
      <c r="AD7" s="1" t="s">
        <v>63</v>
      </c>
    </row>
    <row r="8" spans="1:30" x14ac:dyDescent="0.25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/>
      <c r="AC8" s="1"/>
      <c r="AD8" s="1" t="s">
        <v>63</v>
      </c>
    </row>
    <row r="9" spans="1:30" x14ac:dyDescent="0.25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/>
      <c r="AC9" s="1"/>
      <c r="AD9" s="1" t="s">
        <v>63</v>
      </c>
    </row>
    <row r="10" spans="1:30" x14ac:dyDescent="0.25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/>
      <c r="AC10" s="1"/>
      <c r="AD10" s="1" t="s">
        <v>63</v>
      </c>
    </row>
    <row r="11" spans="1:30" x14ac:dyDescent="0.25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/>
      <c r="AC11" s="1"/>
      <c r="AD11" s="1" t="s">
        <v>63</v>
      </c>
    </row>
    <row r="12" spans="1:30" x14ac:dyDescent="0.25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/>
      <c r="AC12" s="1"/>
      <c r="AD12" s="1" t="s">
        <v>63</v>
      </c>
    </row>
    <row r="13" spans="1:30" x14ac:dyDescent="0.25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/>
      <c r="AC13" s="1"/>
      <c r="AD13" s="1" t="s">
        <v>63</v>
      </c>
    </row>
    <row r="14" spans="1:30" x14ac:dyDescent="0.25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/>
      <c r="AC14" s="1"/>
      <c r="AD14" s="1" t="s">
        <v>63</v>
      </c>
    </row>
    <row r="15" spans="1:30" x14ac:dyDescent="0.25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/>
      <c r="AC15" s="1"/>
      <c r="AD15" s="1" t="s">
        <v>63</v>
      </c>
    </row>
    <row r="16" spans="1:30" x14ac:dyDescent="0.25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/>
      <c r="AC16" s="1"/>
      <c r="AD16" s="1" t="s">
        <v>63</v>
      </c>
    </row>
    <row r="17" spans="1:30" x14ac:dyDescent="0.25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/>
      <c r="AC17" s="1"/>
      <c r="AD17" s="1" t="s">
        <v>63</v>
      </c>
    </row>
    <row r="18" spans="1:30" x14ac:dyDescent="0.25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/>
      <c r="AC18" s="1"/>
      <c r="AD18" s="1" t="s">
        <v>63</v>
      </c>
    </row>
    <row r="19" spans="1:30" x14ac:dyDescent="0.25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/>
      <c r="AC19" s="1"/>
      <c r="AD19" s="1" t="s">
        <v>63</v>
      </c>
    </row>
    <row r="20" spans="1:30" x14ac:dyDescent="0.25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 t="s">
        <v>63</v>
      </c>
    </row>
    <row r="21" spans="1:30" x14ac:dyDescent="0.25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 t="s">
        <v>63</v>
      </c>
    </row>
    <row r="22" spans="1:30" x14ac:dyDescent="0.25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 t="s">
        <v>63</v>
      </c>
    </row>
    <row r="23" spans="1:30" x14ac:dyDescent="0.25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 t="s">
        <v>63</v>
      </c>
    </row>
    <row r="24" spans="1:30" x14ac:dyDescent="0.25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 t="s">
        <v>63</v>
      </c>
    </row>
  </sheetData>
  <sheetProtection algorithmName="SHA-512" hashValue="lRKTR3pVkwdBFi00U+I5YoAM4Cxm9DQ34hug2VHX/IvjC3j1kT/rw49zc/eAZHydk9MlTDnmp/Bhmv7w4xdyAw==" saltValue="UGMECdZeHXf72EGwdDHfL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7" sqref="C7"/>
    </sheetView>
  </sheetViews>
  <sheetFormatPr baseColWidth="10" defaultRowHeight="15" x14ac:dyDescent="0.25"/>
  <cols>
    <col min="1" max="1" width="13.85546875" bestFit="1" customWidth="1"/>
    <col min="2" max="2" width="18.140625" style="37" customWidth="1"/>
    <col min="3" max="3" width="18.42578125" style="13" customWidth="1"/>
    <col min="4" max="4" width="12.42578125" customWidth="1"/>
    <col min="6" max="6" width="18.5703125" style="37" customWidth="1"/>
    <col min="7" max="7" width="20" style="13" customWidth="1"/>
    <col min="10" max="10" width="18.7109375" style="16" customWidth="1"/>
    <col min="11" max="11" width="15.5703125" style="16" bestFit="1" customWidth="1"/>
  </cols>
  <sheetData>
    <row r="1" spans="1:12" x14ac:dyDescent="0.25">
      <c r="A1" s="3" t="s">
        <v>0</v>
      </c>
      <c r="B1" s="29" t="s">
        <v>58</v>
      </c>
      <c r="C1" s="7" t="s">
        <v>5</v>
      </c>
      <c r="D1" s="11" t="s">
        <v>12</v>
      </c>
      <c r="E1" s="11" t="s">
        <v>11</v>
      </c>
      <c r="F1" s="7" t="s">
        <v>59</v>
      </c>
      <c r="G1" s="17" t="s">
        <v>2</v>
      </c>
      <c r="H1" s="11" t="s">
        <v>12</v>
      </c>
      <c r="I1" s="11" t="s">
        <v>11</v>
      </c>
      <c r="J1" s="18" t="s">
        <v>56</v>
      </c>
      <c r="K1" s="10" t="s">
        <v>57</v>
      </c>
      <c r="L1" s="4" t="s">
        <v>4</v>
      </c>
    </row>
    <row r="2" spans="1:12" x14ac:dyDescent="0.25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vgbWlxpw9VnDkCv5FlNF+p+5EWEc2l6pciWuW3+d/c1nEMjquIXR9Q0cTUkAoz9zDBHXUogm4aFqV7Yq0HiKSQ==" saltValue="dsmR2pJ4Iw5OHBkKIERiSw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6" sqref="E6"/>
    </sheetView>
  </sheetViews>
  <sheetFormatPr baseColWidth="10" defaultRowHeight="15" x14ac:dyDescent="0.25"/>
  <cols>
    <col min="1" max="1" width="13.85546875" bestFit="1" customWidth="1"/>
    <col min="2" max="6" width="11.42578125" style="37"/>
    <col min="7" max="7" width="22.7109375" style="13" customWidth="1"/>
    <col min="8" max="8" width="11.28515625" style="37" bestFit="1" customWidth="1"/>
    <col min="9" max="10" width="11.42578125" style="37" bestFit="1"/>
    <col min="11" max="11" width="11.140625" style="37" bestFit="1" customWidth="1"/>
    <col min="12" max="12" width="11.28515625" style="37" bestFit="1" customWidth="1"/>
    <col min="13" max="13" width="10.85546875" style="37" bestFit="1" customWidth="1"/>
    <col min="14" max="14" width="10.28515625" style="37" bestFit="1" customWidth="1"/>
    <col min="15" max="16" width="12.140625" style="37" bestFit="1" customWidth="1"/>
    <col min="17" max="17" width="11.5703125" style="37" bestFit="1" customWidth="1"/>
    <col min="18" max="18" width="12.140625" style="37" bestFit="1" customWidth="1"/>
    <col min="19" max="19" width="10.85546875" style="37" bestFit="1" customWidth="1"/>
    <col min="20" max="20" width="11.140625" style="37" bestFit="1" customWidth="1"/>
    <col min="21" max="21" width="10" style="37" bestFit="1" customWidth="1"/>
    <col min="22" max="22" width="10.85546875" style="37" bestFit="1" customWidth="1"/>
    <col min="23" max="23" width="11.5703125" style="37" bestFit="1" customWidth="1"/>
    <col min="24" max="24" width="10.140625" style="37" bestFit="1" customWidth="1"/>
  </cols>
  <sheetData>
    <row r="1" spans="1:25" x14ac:dyDescent="0.25">
      <c r="A1" s="3" t="s">
        <v>0</v>
      </c>
      <c r="B1" s="38" t="s">
        <v>30</v>
      </c>
      <c r="C1" s="38" t="s">
        <v>31</v>
      </c>
      <c r="D1" s="38" t="s">
        <v>32</v>
      </c>
      <c r="E1" s="38" t="s">
        <v>33</v>
      </c>
      <c r="F1" s="38" t="s">
        <v>34</v>
      </c>
      <c r="G1" s="17" t="s">
        <v>2</v>
      </c>
      <c r="H1" s="29" t="s">
        <v>35</v>
      </c>
      <c r="I1" s="29" t="s">
        <v>36</v>
      </c>
      <c r="J1" s="29" t="s">
        <v>37</v>
      </c>
      <c r="K1" s="29" t="s">
        <v>38</v>
      </c>
      <c r="L1" s="29" t="s">
        <v>39</v>
      </c>
      <c r="M1" s="29" t="s">
        <v>40</v>
      </c>
      <c r="N1" s="29" t="s">
        <v>41</v>
      </c>
      <c r="O1" s="29" t="s">
        <v>42</v>
      </c>
      <c r="P1" s="29" t="s">
        <v>43</v>
      </c>
      <c r="Q1" s="29" t="s">
        <v>44</v>
      </c>
      <c r="R1" s="29" t="s">
        <v>45</v>
      </c>
      <c r="S1" s="29" t="s">
        <v>46</v>
      </c>
      <c r="T1" s="29" t="s">
        <v>47</v>
      </c>
      <c r="U1" s="29" t="s">
        <v>48</v>
      </c>
      <c r="V1" s="29" t="s">
        <v>49</v>
      </c>
      <c r="W1" s="29" t="s">
        <v>50</v>
      </c>
      <c r="X1" s="29" t="s">
        <v>51</v>
      </c>
      <c r="Y1" t="s">
        <v>4</v>
      </c>
    </row>
    <row r="2" spans="1:25" x14ac:dyDescent="0.25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25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25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25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25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25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25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25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25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25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25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25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25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25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25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25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25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25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25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25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25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E852409-FD42-4970-B0C3-85811AC13E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CA0CE5-B988-4432-82CF-53FD0484A4C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32B1CD55-3EA4-48F3-99C8-C61E81DC47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2022-08-13T21:47:35Z</cp:lastPrinted>
  <dcterms:created xsi:type="dcterms:W3CDTF">2022-02-07T17:43:38Z</dcterms:created>
  <dcterms:modified xsi:type="dcterms:W3CDTF">2022-12-27T12:38:34Z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